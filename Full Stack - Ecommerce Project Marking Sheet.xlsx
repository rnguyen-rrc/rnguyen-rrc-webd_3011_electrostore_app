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1AD55A29-21EC-49F5-B90F-A0805221EE49}"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Sheet1!$A$1:$AC$1119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<sst xmlns="http://schemas.openxmlformats.org/spreadsheetml/2006/main" count="379" uniqueCount="215">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</sst>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rgb="FFC00000"/>
      <name val="Calibri"/>
      <family val="2"/>
    </font>
    <font>
      <b/>
      <sz val="14"/>
      <color rgb="FF434343"/>
      <name val="Calibri"/>
      <family val="2"/>
    </font>
    <font>
      <b/>
      <sz val="14"/>
      <color rgb="FF00B050"/>
      <name val="Calibri"/>
      <family val="2"/>
    </font>
    <font>
      <b/>
      <sz val="14"/>
      <color theme="8" tint="0.39997558519241921"/>
      <name val="Calibri"/>
      <family val="2"/>
    </font>
    <font>
      <b/>
      <sz val="14"/>
      <color theme="6" tint="-0.249977111117893"/>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9">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49" fontId="22" fillId="0" borderId="0" xfId="0" applyNumberFormat="1" applyFont="1" applyAlignment="1">
      <alignment horizontal="center"/>
    </xf>
    <xf numFmtId="0" fontId="22" fillId="0" borderId="0" xfId="0" applyFont="1" applyAlignment="1">
      <alignment wrapText="1"/>
    </xf>
    <xf numFmtId="49" fontId="23" fillId="0" borderId="0" xfId="0" applyNumberFormat="1" applyFont="1" applyAlignment="1">
      <alignment horizontal="center"/>
    </xf>
    <xf numFmtId="0" fontId="23" fillId="0" borderId="0" xfId="0" applyFont="1" applyAlignment="1">
      <alignment wrapText="1"/>
    </xf>
    <xf numFmtId="0" fontId="19" fillId="0" borderId="0" xfId="0" quotePrefix="1" applyFont="1" applyAlignment="1">
      <alignment wrapText="1"/>
    </xf>
    <xf numFmtId="49" fontId="24" fillId="0" borderId="0" xfId="0" applyNumberFormat="1" applyFont="1" applyAlignment="1">
      <alignment horizontal="center"/>
    </xf>
    <xf numFmtId="0" fontId="24"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115" activePane="bottomLeft" state="frozen"/>
      <selection pane="bottomLeft" activeCell="D122" sqref="D122"/>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68  /  Verified: 28  /  Verified with Deductions: 13  /  Verified with Deductions &amp; Milestones: 13</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42" t="s">
        <v>47</v>
      </c>
      <c r="D27" s="43" t="s">
        <v>48</v>
      </c>
      <c r="E27" s="10"/>
      <c r="F27" s="21" t="s">
        <v>214</v>
      </c>
      <c r="G27" s="22">
        <v>2</v>
      </c>
      <c r="H27" s="10"/>
      <c r="I27" s="12">
        <f t="shared" si="11"/>
        <v>2</v>
      </c>
      <c r="J27" s="12">
        <f t="shared" si="12"/>
        <v>0</v>
      </c>
      <c r="K27" s="12">
        <f>IF(F27 = "yes",G27, 0)</f>
        <v>0</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42" t="s">
        <v>65</v>
      </c>
      <c r="D43" s="43" t="s">
        <v>66</v>
      </c>
      <c r="E43" s="10"/>
      <c r="F43" s="21" t="s">
        <v>214</v>
      </c>
      <c r="G43" s="22">
        <v>4</v>
      </c>
      <c r="H43" s="23" t="s">
        <v>13</v>
      </c>
      <c r="I43" s="12">
        <f t="shared" ref="I43:I44" si="13">IF(OR(F43 = "maybe", F43 = "yes"),G43, 0)</f>
        <v>4</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42" t="s">
        <v>67</v>
      </c>
      <c r="D44" s="43" t="s">
        <v>68</v>
      </c>
      <c r="E44" s="10"/>
      <c r="F44" s="21" t="s">
        <v>214</v>
      </c>
      <c r="G44" s="22">
        <v>4</v>
      </c>
      <c r="H44" s="10"/>
      <c r="I44" s="12">
        <f t="shared" si="13"/>
        <v>4</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42" t="s">
        <v>72</v>
      </c>
      <c r="D48" s="43" t="s">
        <v>73</v>
      </c>
      <c r="E48" s="10"/>
      <c r="F48" s="21" t="s">
        <v>214</v>
      </c>
      <c r="G48" s="22">
        <v>8</v>
      </c>
      <c r="H48" s="23" t="s">
        <v>13</v>
      </c>
      <c r="I48" s="12">
        <f>IF(OR(F48 = "maybe", F48 = "yes"),G48, 0)</f>
        <v>8</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42" t="s">
        <v>79</v>
      </c>
      <c r="D54" s="43" t="s">
        <v>80</v>
      </c>
      <c r="E54" s="10"/>
      <c r="F54" s="21" t="s">
        <v>214</v>
      </c>
      <c r="G54" s="22">
        <v>8</v>
      </c>
      <c r="H54" s="10"/>
      <c r="I54" s="12">
        <f>IF(OR(F54 = "maybe", F54 = "yes"),G54, 0)</f>
        <v>8</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42" t="s">
        <v>85</v>
      </c>
      <c r="D59" s="43" t="s">
        <v>86</v>
      </c>
      <c r="E59" s="10"/>
      <c r="F59" s="21" t="s">
        <v>214</v>
      </c>
      <c r="G59" s="22">
        <v>4</v>
      </c>
      <c r="H59" s="10"/>
      <c r="I59" s="12">
        <f>IF(OR(F59 = "maybe", F59 = "yes"),G59, 0)</f>
        <v>4</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44" t="s">
        <v>112</v>
      </c>
      <c r="D82" s="45"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42" t="s">
        <v>129</v>
      </c>
      <c r="D97" s="43" t="s">
        <v>130</v>
      </c>
      <c r="E97" s="10"/>
      <c r="F97" s="21" t="s">
        <v>214</v>
      </c>
      <c r="G97" s="22">
        <v>2</v>
      </c>
      <c r="H97" s="23" t="s">
        <v>13</v>
      </c>
      <c r="I97" s="12">
        <f t="shared" ref="I97:I98" si="15">IF(OR(F97 = "maybe", F97 = "yes"),G97, 0)</f>
        <v>2</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42" t="s">
        <v>131</v>
      </c>
      <c r="D98" s="43" t="s">
        <v>132</v>
      </c>
      <c r="E98" s="10"/>
      <c r="F98" s="21" t="s">
        <v>214</v>
      </c>
      <c r="G98" s="22">
        <v>2</v>
      </c>
      <c r="H98" s="10"/>
      <c r="I98" s="12">
        <f t="shared" si="15"/>
        <v>2</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42" t="s">
        <v>144</v>
      </c>
      <c r="D110" s="43" t="s">
        <v>145</v>
      </c>
      <c r="E110" s="10"/>
      <c r="F110" s="21" t="s">
        <v>214</v>
      </c>
      <c r="G110" s="22">
        <v>2</v>
      </c>
      <c r="H110" s="23" t="s">
        <v>13</v>
      </c>
      <c r="I110" s="12">
        <f>IF(OR(F110 = "maybe", F110 = "yes"),G110, 0)</f>
        <v>2</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47" t="s">
        <v>152</v>
      </c>
      <c r="D115" s="48"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4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6"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42" t="s">
        <v>163</v>
      </c>
      <c r="D126" s="43" t="s">
        <v>164</v>
      </c>
      <c r="E126" s="10"/>
      <c r="F126" s="21" t="s">
        <v>214</v>
      </c>
      <c r="G126" s="22">
        <v>4</v>
      </c>
      <c r="H126" s="10"/>
      <c r="I126" s="12">
        <f t="shared" ref="I126:I128" si="20">IF(OR(F126 = "maybe", F126 = "yes"),G126, 0)</f>
        <v>4</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1" t="s">
        <v>213</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20"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20"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68</v>
      </c>
      <c r="J170" s="12">
        <f t="shared" si="24"/>
        <v>28</v>
      </c>
      <c r="K170" s="12">
        <f t="shared" si="24"/>
        <v>13</v>
      </c>
      <c r="L170" s="12">
        <f>CHOOSE(SUM(L165:L168)+1, MIN(60, K170) + (K170 - MIN(60, K170))/2,MIN(70, KJ170) + (K170 - MIN(70, K170))/2,MIN(80, K170) + (K170 - MIN(80, K170))/2,MIN(90, K170) + (K170 - MIN(90, K170))/2, K170)</f>
        <v>13</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autoFilter ref="A1:AC1119" xr:uid="{00000000-0001-0000-0000-000000000000}"/>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2026-04-02T17:09:50Z</dcterms:modified>
</cp:coreProperties>
</file>