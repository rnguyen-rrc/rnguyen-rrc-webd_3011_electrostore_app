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6ea0a80ab323a6d7/Documents/TERM 3/WEBD-3011 Agile Full Stack Web Development/E-commerce Project/electrostore_app/"/>
    </mc:Choice>
  </mc:AlternateContent>
  <xr:revisionPtr revIDLastSave="7" documentId="11_48A0D02C31ED299F75CB867A24A221DF50C83E58" xr6:coauthVersionLast="47" xr6:coauthVersionMax="47" xr10:uidLastSave="{41FD56B6-851D-492C-8F95-3A108DAD2667}"/>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A1" i="1" s="1"/>
  <c r="J170" i="1"/>
  <c r="K170" i="1"/>
  <c r="L170" i="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<sst xmlns="http://schemas.openxmlformats.org/spreadsheetml/2006/main" count="379" uniqueCount="215">
  <si>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</si>
  <si>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</si>
  <si>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</si>
  <si>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</si>
  <si>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</si>
  <si>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</si>
  <si>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</si>
  <si>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</si>
  <si>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</si>
  <si>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</si>
  <si>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</si>
  <si>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</si>
  <si>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</si>
  <si>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</si>
  <si>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</si>
  <si>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</si>
  <si>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</si>
  <si>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</si>
  <si>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</si>
  <si>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</si>
  <si>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</si>
  <si>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</si>
  <si>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</si>
  <si>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</si>
  <si>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</si>
  <si>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</si>
  <si>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</si>
  <si>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</si>
  <si>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</si>
  <si>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</si>
  <si>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</si>
  <si>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</si>
  <si>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</si>
  <si>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</si>
  <si>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</si>
  <si>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</si>
  <si>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</si>
  <si>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</si>
  <si>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</si>
  <si>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</si>
  <si>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</si>
  <si>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</si>
  <si>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</si>
  <si>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</si>
  <si>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</si>
  <si>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</si>
  <si>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</si>
  <si>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</si>
  <si>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</si>
  <si>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</si>
  <si>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</si>
  <si>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</si>
  <si>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</si>
  <si>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</si>
  <si>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</si>
  <si>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</si>
  <si>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</si>
  <si>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</si>
  <si>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</si>
  <si>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</si>
  <si>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</si>
  <si>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</si>
  <si>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</si>
  <si>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</si>
  <si>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</si>
  <si>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</si>
  <si>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</si>
  <si>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</si>
  <si>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</si>
  <si>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</si>
  <si>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</si>
  <si>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</si>
  <si>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</si>
  <si>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</si>
  <si>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</si>
  <si>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</si>
  <si>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</si>
  <si>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</si>
  <si>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</si>
  <si>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</si>
  <si>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</si>
  <si>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</si>
  <si>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</si>
  <si>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</si>
  <si>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</si>
  <si>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</si>
  <si>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</si>
  <si>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</si>
  <si>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</si>
  <si>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</si>
  <si>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</si>
  <si>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</si>
  <si>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</si>
  <si>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</si>
  <si>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</si>
  <si>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</si>
  <si>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</si>
  <si>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</si>
  <si>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</si>
  <si>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</si>
  <si>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</si>
  <si>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</si>
  <si>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</si>
  <si>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</si>
  <si>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</si>
  <si>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</si>
  <si>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</si>
  <si>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</si>
  <si>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</si>
  <si>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</si>
  <si>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</si>
  <si>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</si>
  <si>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</si>
  <si>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</si>
  <si>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</si>
  <si>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</si>
  <si>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</si>
  <si>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</si>
  <si>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</si>
  <si>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</si>
  <si>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</si>
  <si>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</si>
  <si>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</si>
  <si>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</si>
  <si>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</si>
  <si>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</si>
  <si>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</si>
  <si>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</si>
  <si>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</si>
  <si>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</si>
  <si>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</si>
  <si>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</si>
  <si>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</si>
  <si>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</si>
  <si>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</si>
  <si>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</si>
  <si>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</si>
  <si>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</si>
  <si>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</si>
  <si>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</si>
  <si>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</si>
  <si>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</si>
  <si>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</si>
  <si>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</si>
  <si>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</si>
  <si>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</si>
  <si>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</si>
  <si>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</si>
  <si>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</si>
  <si>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</si>
  <si>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</si>
  <si>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</si>
  <si>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</si>
  <si>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</si>
  <si>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</si>
  <si>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</si>
  <si>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</si>
  <si>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</si>
  <si>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</si>
  <si>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</si>
  <si>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</si>
  <si>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</si>
  <si>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</si>
  <si>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 xml:space="preserve">- Be prepared to review your commit messages and the commit deltas with your instructor. You should know how to review both.
</t>
  </si>
  <si>
    <t>5.2</t>
  </si>
  <si>
    <t>Project implements image uploads using ActiveStorage or a gem like Carrierwave.</t>
  </si>
  <si>
    <t xml:space="preserve">5.3
</t>
  </si>
  <si>
    <t xml:space="preserve">Active Storage uploads are stored to Google Cloud or AWS S3.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</si>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</sst>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color rgb="FFFF0000"/>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4" activePane="bottomLeft" state="frozen"/>
      <selection pane="bottomLeft" activeCell="D15" sqref="D15"/>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8  /  Verified: 0  /  Verified with Deductions: -30  /  Verified with Deductions &amp; Milestones: -30</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214</v>
      </c>
      <c r="G4" s="22">
        <v>2</v>
      </c>
      <c r="H4" s="23" t="s">
        <v>13</v>
      </c>
      <c r="I4" s="12">
        <f t="shared" ref="I4:I5" si="0">IF(OR(F4 = "maybe", F4 = "yes"),G4, 0)</f>
        <v>2</v>
      </c>
      <c r="J4" s="12">
        <f t="shared" ref="J4:J5" si="1">IF(F4 = "yes",G4, 0)</f>
        <v>0</v>
      </c>
      <c r="K4" s="12">
        <f t="shared" ref="K4:K5" si="2">IF(F4 = "yes",G4, $M$2)</f>
        <v>-3</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214</v>
      </c>
      <c r="G5" s="22">
        <v>2</v>
      </c>
      <c r="H5" s="23" t="s">
        <v>13</v>
      </c>
      <c r="I5" s="24">
        <f t="shared" si="0"/>
        <v>2</v>
      </c>
      <c r="J5" s="24">
        <f t="shared" si="1"/>
        <v>0</v>
      </c>
      <c r="K5" s="24">
        <f t="shared" si="2"/>
        <v>-3</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12</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214</v>
      </c>
      <c r="G8" s="22">
        <v>2</v>
      </c>
      <c r="H8" s="10"/>
      <c r="I8" s="12">
        <f t="shared" ref="I8:I9" si="3">IF(OR(F8 = "maybe", F8 = "yes"),G8, 0)</f>
        <v>2</v>
      </c>
      <c r="J8" s="12">
        <f t="shared" ref="J8:J9" si="4">IF(F8 = "yes",G8, 0)</f>
        <v>0</v>
      </c>
      <c r="K8" s="12">
        <f t="shared" ref="K8:K9" si="5">IF(F8 = "yes",G8, 0)</f>
        <v>0</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214</v>
      </c>
      <c r="G13" s="22">
        <v>2</v>
      </c>
      <c r="H13" s="10"/>
      <c r="I13" s="12">
        <f>IF(OR(F13 = "maybe", F13 = "yes"),G13, 0)</f>
        <v>2</v>
      </c>
      <c r="J13" s="12">
        <f>IF(F13 = "yes",G13, 0)</f>
        <v>0</v>
      </c>
      <c r="K13" s="12">
        <f>IF(F13 = "yes",G13, 0)</f>
        <v>0</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12</v>
      </c>
      <c r="G15" s="22">
        <v>2</v>
      </c>
      <c r="H15" s="23"/>
      <c r="I15" s="12">
        <f>IF(OR(F15 = "maybe", F15 = "yes"),G15, 0)</f>
        <v>0</v>
      </c>
      <c r="J15" s="12">
        <f>IF(F15 = "yes",G15, 0)</f>
        <v>0</v>
      </c>
      <c r="K15" s="12">
        <f>IF(F15 = "yes",G15, 0)</f>
        <v>0</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12</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12</v>
      </c>
      <c r="G17" s="22">
        <v>2</v>
      </c>
      <c r="H17" s="23"/>
      <c r="I17" s="12">
        <f t="shared" ref="I17:I18" si="6">IF(OR(F17 = "maybe", F17 = "yes"),G17, 0)</f>
        <v>0</v>
      </c>
      <c r="J17" s="12">
        <f t="shared" ref="J17:J18" si="7">IF(F17 = "yes",G17, 0)</f>
        <v>0</v>
      </c>
      <c r="K17" s="12">
        <f t="shared" ref="K17:K18" si="8">IF(F17 = "yes",G17, 0)</f>
        <v>0</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12</v>
      </c>
      <c r="G18" s="22">
        <v>2</v>
      </c>
      <c r="H18" s="23"/>
      <c r="I18" s="12">
        <f t="shared" si="6"/>
        <v>0</v>
      </c>
      <c r="J18" s="12">
        <f t="shared" si="7"/>
        <v>0</v>
      </c>
      <c r="K18" s="12">
        <f t="shared" si="8"/>
        <v>0</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12</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12</v>
      </c>
      <c r="G22" s="22">
        <v>2</v>
      </c>
      <c r="H22" s="23" t="s">
        <v>13</v>
      </c>
      <c r="I22" s="12">
        <f t="shared" ref="I22:I23" si="9">IF(OR(F22 = "maybe", F22 = "yes"),G22, 0)</f>
        <v>0</v>
      </c>
      <c r="J22" s="12">
        <f t="shared" ref="J22:J23" si="10">IF(F22 = "yes",G22, 0)</f>
        <v>0</v>
      </c>
      <c r="K22" s="12">
        <f>IF(F22 = "yes",G22, $M$2)</f>
        <v>-3</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12</v>
      </c>
      <c r="G23" s="22">
        <v>2</v>
      </c>
      <c r="H23" s="10"/>
      <c r="I23" s="12">
        <f t="shared" si="9"/>
        <v>0</v>
      </c>
      <c r="J23" s="12">
        <f t="shared" si="10"/>
        <v>0</v>
      </c>
      <c r="K23" s="12">
        <f>IF(F23 = "yes",G23, 0)</f>
        <v>0</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12</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12</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12</v>
      </c>
      <c r="G26" s="22">
        <v>2</v>
      </c>
      <c r="H26" s="23" t="s">
        <v>13</v>
      </c>
      <c r="I26" s="12">
        <f t="shared" ref="I26:I27" si="11">IF(OR(F26 = "maybe", F26 = "yes"),G26, 0)</f>
        <v>0</v>
      </c>
      <c r="J26" s="12">
        <f t="shared" ref="J26:J27" si="12">IF(F26 = "yes",G26, 0)</f>
        <v>0</v>
      </c>
      <c r="K26" s="12">
        <f>IF(F26 = "yes",G26, $M$2)</f>
        <v>-3</v>
      </c>
      <c r="L26" s="18"/>
      <c r="M26" s="18"/>
      <c r="N26" s="7"/>
      <c r="O26" s="7"/>
      <c r="P26" s="7"/>
      <c r="Q26" s="7"/>
      <c r="R26" s="7"/>
      <c r="S26" s="7"/>
      <c r="T26" s="7"/>
      <c r="U26" s="7"/>
      <c r="V26" s="7"/>
      <c r="W26" s="7"/>
      <c r="X26" s="7"/>
      <c r="Y26" s="7"/>
      <c r="Z26" s="7"/>
      <c r="AA26" s="7"/>
      <c r="AB26" s="7"/>
      <c r="AC26" s="7"/>
    </row>
    <row r="27" spans="1:29" ht="18" x14ac:dyDescent="0.35">
      <c r="A27" s="9"/>
      <c r="B27" s="9"/>
      <c r="C27" s="19" t="s">
        <v>47</v>
      </c>
      <c r="D27" s="20" t="s">
        <v>48</v>
      </c>
      <c r="E27" s="10"/>
      <c r="F27" s="21" t="s">
        <v>12</v>
      </c>
      <c r="G27" s="22">
        <v>2</v>
      </c>
      <c r="H27" s="10"/>
      <c r="I27" s="12">
        <f t="shared" si="11"/>
        <v>0</v>
      </c>
      <c r="J27" s="12">
        <f t="shared" si="12"/>
        <v>0</v>
      </c>
      <c r="K27" s="12">
        <f>IF(F27 = "yes",G27, 0)</f>
        <v>0</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12</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12</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12</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12</v>
      </c>
      <c r="G32" s="22">
        <v>2</v>
      </c>
      <c r="H32" s="10"/>
      <c r="I32" s="12">
        <f>IF(OR(F32 = "maybe", F32 = "yes"),G32, 0)</f>
        <v>0</v>
      </c>
      <c r="J32" s="12">
        <f>IF(F32 = "yes",G32, 0)</f>
        <v>0</v>
      </c>
      <c r="K32" s="12">
        <f>IF(F32 = "yes",G32, 0)</f>
        <v>0</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12</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12</v>
      </c>
      <c r="G34" s="22">
        <v>4</v>
      </c>
      <c r="H34" s="23" t="s">
        <v>13</v>
      </c>
      <c r="I34" s="12">
        <f>IF(OR(F34 = "maybe", F34 = "yes"),G34, 0)</f>
        <v>0</v>
      </c>
      <c r="J34" s="12">
        <f>IF(F34 = "yes",G34, 0)</f>
        <v>0</v>
      </c>
      <c r="K34" s="12">
        <f>IF(F34 = "yes",G34, $M$2)</f>
        <v>-3</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12</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12</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12</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12</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12</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12</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12</v>
      </c>
      <c r="G43" s="22">
        <v>4</v>
      </c>
      <c r="H43" s="23" t="s">
        <v>13</v>
      </c>
      <c r="I43" s="12">
        <f t="shared" ref="I43:I44" si="13">IF(OR(F43 = "maybe", F43 = "yes"),G43, 0)</f>
        <v>0</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12</v>
      </c>
      <c r="G44" s="22">
        <v>4</v>
      </c>
      <c r="H44" s="10"/>
      <c r="I44" s="12">
        <f t="shared" si="13"/>
        <v>0</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12</v>
      </c>
      <c r="G48" s="22">
        <v>8</v>
      </c>
      <c r="H48" s="23" t="s">
        <v>13</v>
      </c>
      <c r="I48" s="12">
        <f>IF(OR(F48 = "maybe", F48 = "yes"),G48, 0)</f>
        <v>0</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12</v>
      </c>
      <c r="G54" s="22">
        <v>8</v>
      </c>
      <c r="H54" s="10"/>
      <c r="I54" s="12">
        <f>IF(OR(F54 = "maybe", F54 = "yes"),G54, 0)</f>
        <v>0</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12</v>
      </c>
      <c r="G59" s="22">
        <v>4</v>
      </c>
      <c r="H59" s="10"/>
      <c r="I59" s="12">
        <f>IF(OR(F59 = "maybe", F59 = "yes"),G59, 0)</f>
        <v>0</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19" t="s">
        <v>112</v>
      </c>
      <c r="D82" s="20"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19" t="s">
        <v>129</v>
      </c>
      <c r="D97" s="20" t="s">
        <v>130</v>
      </c>
      <c r="E97" s="10"/>
      <c r="F97" s="21" t="s">
        <v>12</v>
      </c>
      <c r="G97" s="22">
        <v>2</v>
      </c>
      <c r="H97" s="23" t="s">
        <v>13</v>
      </c>
      <c r="I97" s="12">
        <f t="shared" ref="I97:I98" si="15">IF(OR(F97 = "maybe", F97 = "yes"),G97, 0)</f>
        <v>0</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19" t="s">
        <v>131</v>
      </c>
      <c r="D98" s="20" t="s">
        <v>132</v>
      </c>
      <c r="E98" s="10"/>
      <c r="F98" s="21" t="s">
        <v>12</v>
      </c>
      <c r="G98" s="22">
        <v>2</v>
      </c>
      <c r="H98" s="10"/>
      <c r="I98" s="12">
        <f t="shared" si="15"/>
        <v>0</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12</v>
      </c>
      <c r="G110" s="22">
        <v>2</v>
      </c>
      <c r="H110" s="23" t="s">
        <v>13</v>
      </c>
      <c r="I110" s="12">
        <f>IF(OR(F110 = "maybe", F110 = "yes"),G110, 0)</f>
        <v>0</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12</v>
      </c>
      <c r="G113" s="22">
        <v>2</v>
      </c>
      <c r="H113" s="10"/>
      <c r="I113" s="12">
        <f t="shared" ref="I113:I116" si="17">IF(OR(F113 = "maybe", F113 = "yes"),G113, 0)</f>
        <v>0</v>
      </c>
      <c r="J113" s="12">
        <f t="shared" ref="J113:J116" si="18">IF(F113 = "yes",G113, 0)</f>
        <v>0</v>
      </c>
      <c r="K113" s="12">
        <f t="shared" ref="K113:K116" si="19">IF(F113 = "yes",G113, 0)</f>
        <v>0</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19" t="s">
        <v>152</v>
      </c>
      <c r="D115" s="20"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2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23.25" customHeight="1" x14ac:dyDescent="0.35">
      <c r="A125" s="7"/>
      <c r="B125" s="7"/>
      <c r="C125" s="19"/>
      <c r="D125" s="3" t="s">
        <v>163</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19" t="s">
        <v>164</v>
      </c>
      <c r="D126" s="20" t="s">
        <v>165</v>
      </c>
      <c r="E126" s="10"/>
      <c r="F126" s="21" t="s">
        <v>12</v>
      </c>
      <c r="G126" s="22">
        <v>4</v>
      </c>
      <c r="H126" s="10"/>
      <c r="I126" s="12">
        <f t="shared" ref="I126:I128" si="20">IF(OR(F126 = "maybe", F126 = "yes"),G126, 0)</f>
        <v>0</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166</v>
      </c>
      <c r="D127" s="20" t="s">
        <v>167</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168</v>
      </c>
      <c r="D128" s="20" t="s">
        <v>169</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170</v>
      </c>
      <c r="D131" s="20" t="s">
        <v>171</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172</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173</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174</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175</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176</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177</v>
      </c>
      <c r="D137" s="20" t="s">
        <v>178</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179</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180</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181</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182</v>
      </c>
      <c r="D141" s="20" t="s">
        <v>183</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179</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184</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181</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185</v>
      </c>
      <c r="D145" s="20" t="s">
        <v>186</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179</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184</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181</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187</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188</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189</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190</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191</v>
      </c>
      <c r="D153" s="20" t="s">
        <v>192</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193</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194</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195</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196</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197</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198</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199</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200</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201</v>
      </c>
      <c r="D162" s="20" t="s">
        <v>202</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203</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204</v>
      </c>
      <c r="E164" s="7" t="s">
        <v>12</v>
      </c>
      <c r="F164" s="17"/>
      <c r="G164" s="17"/>
      <c r="H164" s="10"/>
      <c r="I164" s="12"/>
      <c r="J164" s="12"/>
      <c r="K164" s="12"/>
      <c r="L164" s="12" t="s">
        <v>205</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206</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207</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208</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209</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210</v>
      </c>
      <c r="J169" s="12" t="s">
        <v>211</v>
      </c>
      <c r="K169" s="12" t="s">
        <v>212</v>
      </c>
      <c r="L169" s="12" t="s">
        <v>213</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8</v>
      </c>
      <c r="J170" s="12">
        <f t="shared" si="24"/>
        <v>0</v>
      </c>
      <c r="K170" s="12">
        <f t="shared" si="24"/>
        <v>-30</v>
      </c>
      <c r="L170" s="12">
        <f>CHOOSE(SUM(L165:L168)+1, MIN(60, K170) + (K170 - MIN(60, K170))/2,MIN(70, KJ170) + (K170 - MIN(70, K170))/2,MIN(80, K170) + (K170 - MIN(80, K170))/2,MIN(90, K170) + (K170 - MIN(90, K170))/2, K170)</f>
        <v>-30</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2026-03-28T02:58:19Z</dcterms:modified>
</cp:coreProperties>
</file>