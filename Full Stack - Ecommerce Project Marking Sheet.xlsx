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C9F7F874-E62B-49D8-AEA0-D48F304F9C51}"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<sst xmlns="http://schemas.openxmlformats.org/spreadsheetml/2006/main" count="379" uniqueCount="215">
  <si>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</si>
  <si>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</si>
  <si>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</si>
  <si>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</si>
  <si>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</si>
  <si>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</si>
  <si>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</si>
  <si>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</si>
  <si>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</si>
  <si>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</si>
  <si>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</si>
  <si>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</si>
  <si>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</si>
  <si>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</si>
  <si>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</si>
  <si>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</si>
  <si>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</si>
  <si>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</si>
  <si>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</si>
  <si>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</si>
  <si>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</si>
  <si>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</si>
  <si>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</si>
  <si>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</si>
  <si>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</si>
  <si>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</si>
  <si>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</si>
  <si>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</si>
  <si>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</si>
  <si>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</si>
  <si>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</si>
  <si>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</si>
  <si>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</si>
  <si>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</si>
  <si>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</si>
  <si>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</si>
  <si>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</si>
  <si>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</si>
  <si>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</si>
  <si>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</si>
  <si>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</si>
  <si>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</si>
  <si>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</si>
  <si>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</si>
  <si>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</si>
  <si>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</si>
  <si>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</si>
  <si>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</si>
  <si>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</si>
  <si>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</si>
  <si>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</si>
  <si>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</si>
  <si>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</si>
  <si>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</si>
  <si>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</si>
  <si>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</si>
  <si>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</si>
  <si>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</si>
  <si>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</si>
  <si>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</si>
  <si>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</si>
  <si>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</si>
  <si>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</si>
  <si>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</si>
  <si>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</si>
  <si>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</si>
  <si>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</si>
  <si>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</si>
  <si>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</si>
  <si>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</si>
  <si>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</si>
  <si>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</si>
  <si>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</si>
  <si>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</si>
  <si>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</si>
  <si>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</si>
  <si>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</si>
  <si>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</si>
  <si>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</si>
  <si>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</si>
  <si>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</si>
  <si>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</si>
  <si>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</si>
  <si>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</si>
  <si>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</si>
  <si>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</si>
  <si>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</si>
  <si>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</si>
  <si>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</si>
  <si>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</si>
  <si>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</si>
  <si>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</si>
  <si>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</si>
  <si>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</si>
  <si>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</si>
  <si>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</si>
  <si>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</si>
  <si>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</si>
  <si>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</si>
  <si>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</si>
  <si>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</si>
  <si>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</si>
  <si>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</si>
  <si>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</si>
  <si>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</si>
  <si>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</si>
  <si>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</si>
  <si>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</si>
  <si>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</si>
  <si>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</si>
  <si>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</si>
  <si>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</si>
  <si>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</si>
  <si>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</si>
  <si>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</si>
  <si>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</si>
  <si>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</si>
  <si>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</si>
  <si>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</si>
  <si>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</si>
  <si>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</si>
  <si>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</si>
  <si>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</si>
  <si>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</si>
  <si>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</si>
  <si>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</si>
  <si>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</si>
  <si>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</si>
  <si>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</si>
  <si>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</si>
  <si>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</si>
  <si>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</si>
  <si>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</si>
  <si>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</si>
  <si>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</si>
  <si>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</si>
  <si>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</si>
  <si>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</si>
  <si>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</si>
  <si>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</si>
  <si>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</si>
  <si>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</si>
  <si>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</si>
  <si>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</si>
  <si>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</si>
  <si>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</si>
  <si>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</si>
  <si>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</si>
  <si>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</si>
  <si>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</si>
  <si>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</si>
  <si>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</si>
  <si>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</si>
  <si>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</si>
  <si>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</si>
  <si>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</si>
  <si>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</si>
  <si>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</si>
  <si>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</si>
  <si>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</si>
  <si>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</si>
  <si>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</si>
  <si>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</si>
  <si>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</si>
  <si>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</si>
  <si>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</si>
  <si>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</si>
  <si>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</si>
  <si>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</si>
  <si>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</si>
  <si>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</si>
  <si>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</si>
  <si>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</si>
  <si>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</si>
  <si>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</si>
  <si>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</si>
  <si>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</si>
  <si>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</si>
  <si>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</si>
  <si>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</si>
  <si>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</si>
  <si>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</si>
  <si>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</si>
  <si>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</si>
  <si>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</si>
  <si>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</si>
  <si>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</si>
  <si>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</si>
  <si>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</si>
  <si>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</si>
  <si>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</si>
  <si>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</si>
  <si>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</si>
  <si>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</si>
  <si>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</si>
  <si>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</si>
  <si>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</si>
  <si>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</si>
  <si>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</si>
  <si>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</si>
  <si>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</si>
  <si>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</si>
  <si>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</si>
  <si>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</si>
  <si>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</si>
  <si>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</si>
  <si>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</si>
  <si>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</si>
  <si>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</si>
  <si>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</si>
  <si>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</si>
  <si>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</si>
  <si>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 Be prepared to review your commit messages and the commit deltas with your instructor. You should know how to review both.</t>
  </si>
  <si>
    <t>Active Storage uploads are stored to Google Cloud or AWS S3.</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</si>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</sst>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sz val="14"/>
      <color rgb="FF434343"/>
      <name val="Calibri"/>
      <family val="2"/>
    </font>
    <font>
      <b/>
      <sz val="14"/>
      <color rgb="FFC00000"/>
      <name val="Calibri"/>
      <family val="2"/>
    </font>
    <font>
      <b/>
      <sz val="14"/>
      <color rgb="FF434343"/>
      <name val="Calibri"/>
      <family val="2"/>
    </font>
    <font>
      <b/>
      <sz val="14"/>
      <color rgb="FF00B050"/>
      <name val="Calibri"/>
      <family val="2"/>
    </font>
    <font>
      <b/>
      <sz val="14"/>
      <color theme="8" tint="0.39997558519241921"/>
      <name val="Calibri"/>
      <family val="2"/>
    </font>
    <font>
      <b/>
      <sz val="14"/>
      <color theme="6" tint="-0.249977111117893"/>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9">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20" fillId="0" borderId="0" xfId="0" applyFont="1" applyAlignment="1">
      <alignment wrapText="1"/>
    </xf>
    <xf numFmtId="0" fontId="21" fillId="0" borderId="0" xfId="0" applyFont="1" applyAlignment="1">
      <alignment wrapText="1"/>
    </xf>
    <xf numFmtId="49" fontId="22" fillId="0" borderId="0" xfId="0" applyNumberFormat="1" applyFont="1" applyAlignment="1">
      <alignment horizontal="center"/>
    </xf>
    <xf numFmtId="0" fontId="22" fillId="0" borderId="0" xfId="0" applyFont="1" applyAlignment="1">
      <alignment wrapText="1"/>
    </xf>
    <xf numFmtId="49" fontId="23" fillId="0" borderId="0" xfId="0" applyNumberFormat="1" applyFont="1" applyAlignment="1">
      <alignment horizontal="center"/>
    </xf>
    <xf numFmtId="0" fontId="23" fillId="0" borderId="0" xfId="0" applyFont="1" applyAlignment="1">
      <alignment wrapText="1"/>
    </xf>
    <xf numFmtId="0" fontId="19" fillId="0" borderId="0" xfId="0" quotePrefix="1" applyFont="1" applyAlignment="1">
      <alignment wrapText="1"/>
    </xf>
    <xf numFmtId="49" fontId="24" fillId="0" borderId="0" xfId="0" applyNumberFormat="1" applyFont="1" applyAlignment="1">
      <alignment horizontal="center"/>
    </xf>
    <xf numFmtId="0" fontId="24"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50" activePane="bottomLeft" state="frozen"/>
      <selection pane="bottomLeft" activeCell="F59" sqref="F59"/>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60  /  Verified: 30  /  Verified with Deductions: 15  /  Verified with Deductions &amp; Milestones: 15</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42" t="s">
        <v>47</v>
      </c>
      <c r="D27" s="43" t="s">
        <v>48</v>
      </c>
      <c r="E27" s="10"/>
      <c r="F27" s="21" t="s">
        <v>16</v>
      </c>
      <c r="G27" s="22">
        <v>2</v>
      </c>
      <c r="H27" s="10"/>
      <c r="I27" s="12">
        <f t="shared" si="11"/>
        <v>2</v>
      </c>
      <c r="J27" s="12">
        <f t="shared" si="12"/>
        <v>2</v>
      </c>
      <c r="K27" s="12">
        <f>IF(F27 = "yes",G27, 0)</f>
        <v>2</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214</v>
      </c>
      <c r="G43" s="22">
        <v>4</v>
      </c>
      <c r="H43" s="23" t="s">
        <v>13</v>
      </c>
      <c r="I43" s="12">
        <f t="shared" ref="I43:I44" si="13">IF(OR(F43 = "maybe", F43 = "yes"),G43, 0)</f>
        <v>4</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214</v>
      </c>
      <c r="G44" s="22">
        <v>4</v>
      </c>
      <c r="H44" s="10"/>
      <c r="I44" s="12">
        <f t="shared" si="13"/>
        <v>4</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214</v>
      </c>
      <c r="G48" s="22">
        <v>8</v>
      </c>
      <c r="H48" s="23" t="s">
        <v>13</v>
      </c>
      <c r="I48" s="12">
        <f>IF(OR(F48 = "maybe", F48 = "yes"),G48, 0)</f>
        <v>8</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214</v>
      </c>
      <c r="G54" s="22">
        <v>8</v>
      </c>
      <c r="H54" s="10"/>
      <c r="I54" s="12">
        <f>IF(OR(F54 = "maybe", F54 = "yes"),G54, 0)</f>
        <v>8</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214</v>
      </c>
      <c r="G59" s="22">
        <v>4</v>
      </c>
      <c r="H59" s="10"/>
      <c r="I59" s="12">
        <f>IF(OR(F59 = "maybe", F59 = "yes"),G59, 0)</f>
        <v>4</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44" t="s">
        <v>112</v>
      </c>
      <c r="D82" s="45"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42" t="s">
        <v>129</v>
      </c>
      <c r="D97" s="43"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42" t="s">
        <v>131</v>
      </c>
      <c r="D98" s="43"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214</v>
      </c>
      <c r="G110" s="22">
        <v>2</v>
      </c>
      <c r="H110" s="23" t="s">
        <v>13</v>
      </c>
      <c r="I110" s="12">
        <f>IF(OR(F110 = "maybe", F110 = "yes"),G110, 0)</f>
        <v>2</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47" t="s">
        <v>152</v>
      </c>
      <c r="D115" s="48"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4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36" x14ac:dyDescent="0.35">
      <c r="A125" s="7"/>
      <c r="B125" s="7"/>
      <c r="C125" s="19"/>
      <c r="D125" s="46" t="s">
        <v>212</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42" t="s">
        <v>163</v>
      </c>
      <c r="D126" s="43" t="s">
        <v>164</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165</v>
      </c>
      <c r="D127" s="41" t="s">
        <v>213</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166</v>
      </c>
      <c r="D128" s="20" t="s">
        <v>167</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168</v>
      </c>
      <c r="D131" s="20" t="s">
        <v>169</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170</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171</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172</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173</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174</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175</v>
      </c>
      <c r="D137" s="20" t="s">
        <v>176</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177</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178</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179</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180</v>
      </c>
      <c r="D141" s="20" t="s">
        <v>181</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177</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182</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179</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183</v>
      </c>
      <c r="D145" s="20" t="s">
        <v>184</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177</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182</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179</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185</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186</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187</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188</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189</v>
      </c>
      <c r="D153" s="20" t="s">
        <v>190</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191</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192</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193</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194</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195</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196</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197</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198</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199</v>
      </c>
      <c r="D162" s="20" t="s">
        <v>200</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201</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202</v>
      </c>
      <c r="E164" s="7" t="s">
        <v>12</v>
      </c>
      <c r="F164" s="17"/>
      <c r="G164" s="17"/>
      <c r="H164" s="10"/>
      <c r="I164" s="12"/>
      <c r="J164" s="12"/>
      <c r="K164" s="12"/>
      <c r="L164" s="12" t="s">
        <v>203</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204</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205</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206</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207</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208</v>
      </c>
      <c r="J169" s="12" t="s">
        <v>209</v>
      </c>
      <c r="K169" s="12" t="s">
        <v>210</v>
      </c>
      <c r="L169" s="12" t="s">
        <v>211</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60</v>
      </c>
      <c r="J170" s="12">
        <f t="shared" si="24"/>
        <v>30</v>
      </c>
      <c r="K170" s="12">
        <f t="shared" si="24"/>
        <v>15</v>
      </c>
      <c r="L170" s="12">
        <f>CHOOSE(SUM(L165:L168)+1, MIN(60, K170) + (K170 - MIN(60, K170))/2,MIN(70, KJ170) + (K170 - MIN(70, K170))/2,MIN(80, K170) + (K170 - MIN(80, K170))/2,MIN(90, K170) + (K170 - MIN(90, K170))/2, K170)</f>
        <v>15</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2026-04-02T02:24:39Z</dcterms:modified>
</cp:coreProperties>
</file>